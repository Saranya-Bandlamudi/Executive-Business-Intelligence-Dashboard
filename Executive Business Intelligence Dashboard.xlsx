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091DF7931F401C/Tài liệu/"/>
    </mc:Choice>
  </mc:AlternateContent>
  <xr:revisionPtr revIDLastSave="39" documentId="8_{0AF19C4E-0DA5-8942-A800-48E27D7006F9}" xr6:coauthVersionLast="47" xr6:coauthVersionMax="47" xr10:uidLastSave="{E793AD45-278E-42EB-A6FF-BA9FFFE60C77}"/>
  <bookViews>
    <workbookView xWindow="-108" yWindow="-108" windowWidth="23256" windowHeight="12456" activeTab="1" xr2:uid="{00000000-000D-0000-FFFF-FFFF00000000}"/>
  </bookViews>
  <sheets>
    <sheet name="Raw Data" sheetId="1" r:id="rId1"/>
    <sheet name="Dashboard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2" i="2" l="1"/>
  <c r="I41" i="2"/>
  <c r="I40" i="2"/>
  <c r="I39" i="2"/>
  <c r="N12" i="2"/>
  <c r="N11" i="2"/>
  <c r="N10" i="2"/>
  <c r="N9" i="2"/>
  <c r="N8" i="2"/>
  <c r="N7" i="2"/>
  <c r="I9" i="2"/>
  <c r="I8" i="2"/>
  <c r="I7" i="2"/>
  <c r="C17" i="2"/>
  <c r="C16" i="2"/>
  <c r="C15" i="2"/>
  <c r="C14" i="2"/>
</calcChain>
</file>

<file path=xl/sharedStrings.xml><?xml version="1.0" encoding="utf-8"?>
<sst xmlns="http://schemas.openxmlformats.org/spreadsheetml/2006/main" count="116" uniqueCount="38">
  <si>
    <t>Region</t>
  </si>
  <si>
    <t>Product</t>
  </si>
  <si>
    <t>Sales</t>
  </si>
  <si>
    <t>Profit</t>
  </si>
  <si>
    <t>Expenses</t>
  </si>
  <si>
    <t>Customer Count</t>
  </si>
  <si>
    <t>Month</t>
  </si>
  <si>
    <t>Jan</t>
  </si>
  <si>
    <t>Feb</t>
  </si>
  <si>
    <t>Mar</t>
  </si>
  <si>
    <t>Apr</t>
  </si>
  <si>
    <t>May</t>
  </si>
  <si>
    <t>Jun</t>
  </si>
  <si>
    <t>South</t>
  </si>
  <si>
    <t>North</t>
  </si>
  <si>
    <t>East</t>
  </si>
  <si>
    <t>West</t>
  </si>
  <si>
    <t xml:space="preserve">North </t>
  </si>
  <si>
    <t xml:space="preserve">South </t>
  </si>
  <si>
    <t>Laptop</t>
  </si>
  <si>
    <t>Mobile</t>
  </si>
  <si>
    <t>Tablet</t>
  </si>
  <si>
    <t xml:space="preserve">Mobile </t>
  </si>
  <si>
    <t xml:space="preserve">Laptop </t>
  </si>
  <si>
    <t xml:space="preserve">Tablet </t>
  </si>
  <si>
    <t>KPI Metrics</t>
  </si>
  <si>
    <t>Values</t>
  </si>
  <si>
    <t>Total Revenue</t>
  </si>
  <si>
    <t xml:space="preserve">Total profit </t>
  </si>
  <si>
    <t>Total Expenses</t>
  </si>
  <si>
    <t>Average Profit</t>
  </si>
  <si>
    <t xml:space="preserve">Total Customers </t>
  </si>
  <si>
    <t>Sales by Region</t>
  </si>
  <si>
    <t>Total Sales</t>
  </si>
  <si>
    <t>Profit by Product Table</t>
  </si>
  <si>
    <t>Total Profit</t>
  </si>
  <si>
    <t>Monthly Sales Trend Table</t>
  </si>
  <si>
    <t>Customer Count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</si>
</sst>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'!$B$13:$B$17</c:f>
              <c:strCache>
                <c:ptCount val="5"/>
                <c:pt idx="0">
                  <c:v>Region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'Dashboard '!$C$13:$C$17</c:f>
              <c:numCache>
                <c:formatCode>General</c:formatCode>
                <c:ptCount val="5"/>
                <c:pt idx="0">
                  <c:v>0</c:v>
                </c:pt>
                <c:pt idx="1">
                  <c:v>269000</c:v>
                </c:pt>
                <c:pt idx="2">
                  <c:v>284000</c:v>
                </c:pt>
                <c:pt idx="3">
                  <c:v>340000</c:v>
                </c:pt>
                <c:pt idx="4">
                  <c:v>331000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58-1644-8CEE-584AEBB1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06415"/>
        <c:axId val="17159777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'Dashboard '!$B$13:$B$17</c15:sqref>
                        </c15:formulaRef>
                      </c:ext>
                    </c:extLst>
                    <c:strCache>
                      <c:ptCount val="5"/>
                      <c:pt idx="0">
                        <c:v>Region</c:v>
                      </c:pt>
                      <c:pt idx="1">
                        <c:v>South</c:v>
                      </c:pt>
                      <c:pt idx="2">
                        <c:v>North</c:v>
                      </c:pt>
                      <c:pt idx="3">
                        <c:v>East</c:v>
                      </c:pt>
                      <c:pt idx="4">
                        <c:v>West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 '!$D$13:$D$17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B658-1644-8CEE-584AEBB1A186}"/>
                  </c:ext>
                </c:extLst>
              </c15:ser>
            </c15:filteredBarSeries>
          </c:ext>
        </c:extLst>
      </c:barChart>
      <c:catAx>
        <c:axId val="17160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977743"/>
        <c:crosses val="autoZero"/>
        <c:auto val="1"/>
        <c:lblAlgn val="ctr"/>
        <c:lblOffset val="100"/>
        <c:noMultiLvlLbl val="0"/>
      </c:catAx>
      <c:valAx>
        <c:axId val="171597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0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Profit by Product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9-4E01-96EE-3EF57B2FE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9-4E01-96EE-3EF57B2FE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9-4E01-96EE-3EF57B2FE11A}"/>
              </c:ext>
            </c:extLst>
          </c:dPt>
          <c:cat>
            <c:strRef>
              <c:f>'Dashboard '!$H$7:$H$9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'Dashboard '!$I$7:$I$9</c:f>
              <c:numCache>
                <c:formatCode>General</c:formatCode>
                <c:ptCount val="3"/>
                <c:pt idx="0">
                  <c:v>102000</c:v>
                </c:pt>
                <c:pt idx="1">
                  <c:v>50000</c:v>
                </c:pt>
                <c:pt idx="2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B-2644-917B-60978D9D0BF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9-4E01-96EE-3EF57B2FE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C9-4E01-96EE-3EF57B2FE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C9-4E01-96EE-3EF57B2FE11A}"/>
              </c:ext>
            </c:extLst>
          </c:dPt>
          <c:cat>
            <c:strRef>
              <c:f>'Dashboard '!$H$7:$H$9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'Dashboard '!$J$7:$J$9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41AB-2644-917B-60978D9D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 Sales Trend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'!$M$7:$M$12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'Dashboard '!$N$7:$N$12</c:f>
              <c:numCache>
                <c:formatCode>General</c:formatCode>
                <c:ptCount val="6"/>
                <c:pt idx="0">
                  <c:v>191000</c:v>
                </c:pt>
                <c:pt idx="1">
                  <c:v>211000</c:v>
                </c:pt>
                <c:pt idx="2">
                  <c:v>194000</c:v>
                </c:pt>
                <c:pt idx="3">
                  <c:v>250000</c:v>
                </c:pt>
                <c:pt idx="4">
                  <c:v>232000</c:v>
                </c:pt>
                <c:pt idx="5">
                  <c:v>230000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D-AA41-A30E-B747F7D7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105999"/>
        <c:axId val="171401236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'Dashboard '!$M$7:$M$12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 '!$O$7:$O$12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1D-AA41-A30E-B747F7D79051}"/>
                  </c:ext>
                </c:extLst>
              </c15:ser>
            </c15:filteredLineSeries>
          </c:ext>
        </c:extLst>
      </c:lineChart>
      <c:catAx>
        <c:axId val="171410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12367"/>
        <c:crosses val="autoZero"/>
        <c:auto val="1"/>
        <c:lblAlgn val="ctr"/>
        <c:lblOffset val="100"/>
        <c:noMultiLvlLbl val="0"/>
      </c:catAx>
      <c:valAx>
        <c:axId val="17140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10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Customer Count by Region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'!$I$38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'!$H$39:$H$42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'Dashboard '!$I$39:$I$42</c:f>
              <c:numCache>
                <c:formatCode>General</c:formatCode>
                <c:ptCount val="4"/>
                <c:pt idx="0">
                  <c:v>126</c:v>
                </c:pt>
                <c:pt idx="1">
                  <c:v>131</c:v>
                </c:pt>
                <c:pt idx="2">
                  <c:v>156</c:v>
                </c:pt>
                <c:pt idx="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7-BC4F-AEE4-809153B5A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491535"/>
        <c:axId val="170169371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'Dashboard '!$J$38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'Dashboard '!$H$39:$H$42</c15:sqref>
                        </c15:formulaRef>
                      </c:ext>
                    </c:extLst>
                    <c:strCache>
                      <c:ptCount val="4"/>
                      <c:pt idx="0">
                        <c:v>South</c:v>
                      </c:pt>
                      <c:pt idx="1">
                        <c:v>North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 '!$J$39:$J$42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87-BC4F-AEE4-809153B5A01F}"/>
                  </c:ext>
                </c:extLst>
              </c15:ser>
            </c15:filteredBarSeries>
          </c:ext>
        </c:extLst>
      </c:barChart>
      <c:catAx>
        <c:axId val="171049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693711"/>
        <c:crosses val="autoZero"/>
        <c:auto val="1"/>
        <c:lblAlgn val="ctr"/>
        <c:lblOffset val="100"/>
        <c:noMultiLvlLbl val="0"/>
      </c:catAx>
      <c:valAx>
        <c:axId val="17016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246303</xdr:colOff>
      <xdr:row>18</xdr:row>
      <xdr:rowOff>3751</xdr:rowOff>
    </xdr:from>
    <xdr:to>
      <xdr:col>6</xdr:col>
      <xdr:colOff>396240</xdr:colOff>
      <xdr:row>33</xdr:row>
      <xdr:rowOff>180340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239F5-466B-5308-01BE-1BEA1780A574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9451</xdr:colOff>
      <xdr:row>10</xdr:row>
      <xdr:rowOff>14177</xdr:rowOff>
    </xdr:from>
    <xdr:to>
      <xdr:col>11</xdr:col>
      <xdr:colOff>14177</xdr:colOff>
      <xdr:row>24</xdr:row>
      <xdr:rowOff>180976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AB5A17-9265-DD44-ABCC-AC60369F5F3F}"/>
            </a:ext>
            <a:ext uri="{147F2762-F138-4A5C-976F-8EAC2B608ADB}">
              <a16:predDERef xmlns:a16="http://schemas.microsoft.com/office/drawing/2014/main" pred="{04E239F5-466B-5308-01BE-1BEA1780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459232</xdr:colOff>
      <xdr:row>14</xdr:row>
      <xdr:rowOff>-1</xdr:rowOff>
    </xdr:from>
    <xdr:to>
      <xdr:col>19</xdr:col>
      <xdr:colOff>40640</xdr:colOff>
      <xdr:row>28</xdr:row>
      <xdr:rowOff>10160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D60F99-2524-0667-F5A6-64C621546CCA}"/>
            </a:ext>
            <a:ext uri="{147F2762-F138-4A5C-976F-8EAC2B608ADB}">
              <a16:predDERef xmlns:a16="http://schemas.microsoft.com/office/drawing/2014/main" pred="{9BAB5A17-9265-DD44-ABCC-AC60369F5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142240</xdr:colOff>
      <xdr:row>43</xdr:row>
      <xdr:rowOff>114300</xdr:rowOff>
    </xdr:from>
    <xdr:to>
      <xdr:col>12</xdr:col>
      <xdr:colOff>447040</xdr:colOff>
      <xdr:row>60</xdr:row>
      <xdr:rowOff>113792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3F8CD-4896-288F-0B72-53DAEFC5C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A123-21F4-B74C-BAFF-ED861BEDAD4B}">
  <dimension ref="A1:G25"/>
  <sheetViews>
    <sheetView zoomScaleNormal="60" zoomScaleSheetLayoutView="100" workbookViewId="0">
      <selection activeCell="J11" sqref="J11"/>
    </sheetView>
  </sheetViews>
  <sheetFormatPr defaultRowHeight="14.4" x14ac:dyDescent="0.3"/>
  <cols>
    <col min="2" max="2" width="8.5546875" customWidth="1"/>
    <col min="5" max="5" width="11.6640625" bestFit="1" customWidth="1"/>
    <col min="6" max="6" width="10.21875" customWidth="1"/>
    <col min="7" max="7" width="17.77734375" customWidth="1"/>
  </cols>
  <sheetData>
    <row r="1" spans="1:7" ht="15.6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</v>
      </c>
    </row>
    <row r="2" spans="1:7" ht="15.6" x14ac:dyDescent="0.3">
      <c r="A2" s="3" t="s">
        <v>7</v>
      </c>
      <c r="B2" s="3" t="s">
        <v>13</v>
      </c>
      <c r="C2" s="3" t="s">
        <v>19</v>
      </c>
      <c r="D2" s="3">
        <v>50000</v>
      </c>
      <c r="E2" s="3">
        <v>12000</v>
      </c>
      <c r="F2" s="3">
        <v>30000</v>
      </c>
      <c r="G2" s="3">
        <v>25</v>
      </c>
    </row>
    <row r="3" spans="1:7" ht="15.6" x14ac:dyDescent="0.3">
      <c r="A3" s="3" t="s">
        <v>7</v>
      </c>
      <c r="B3" s="3" t="s">
        <v>14</v>
      </c>
      <c r="C3" s="3" t="s">
        <v>20</v>
      </c>
      <c r="D3" s="3">
        <v>42000</v>
      </c>
      <c r="E3" s="3">
        <v>10000</v>
      </c>
      <c r="F3" s="3">
        <v>25000</v>
      </c>
      <c r="G3" s="3">
        <v>18</v>
      </c>
    </row>
    <row r="4" spans="1:7" ht="15.6" x14ac:dyDescent="0.3">
      <c r="A4" s="3" t="s">
        <v>7</v>
      </c>
      <c r="B4" s="3" t="s">
        <v>15</v>
      </c>
      <c r="C4" s="3" t="s">
        <v>21</v>
      </c>
      <c r="D4" s="3">
        <v>38000</v>
      </c>
      <c r="E4" s="3">
        <v>8000</v>
      </c>
      <c r="F4" s="3">
        <v>22000</v>
      </c>
      <c r="G4" s="3">
        <v>15</v>
      </c>
    </row>
    <row r="5" spans="1:7" ht="15.6" x14ac:dyDescent="0.3">
      <c r="A5" s="3" t="s">
        <v>7</v>
      </c>
      <c r="B5" s="3" t="s">
        <v>16</v>
      </c>
      <c r="C5" s="3" t="s">
        <v>19</v>
      </c>
      <c r="D5" s="3">
        <v>61000</v>
      </c>
      <c r="E5" s="3">
        <v>15000</v>
      </c>
      <c r="F5" s="3">
        <v>35000</v>
      </c>
      <c r="G5" s="3">
        <v>28</v>
      </c>
    </row>
    <row r="6" spans="1:7" ht="15.6" x14ac:dyDescent="0.3">
      <c r="A6" s="3" t="s">
        <v>8</v>
      </c>
      <c r="B6" s="3" t="s">
        <v>13</v>
      </c>
      <c r="C6" s="3" t="s">
        <v>20</v>
      </c>
      <c r="D6" s="3">
        <v>47000</v>
      </c>
      <c r="E6" s="3">
        <v>11000</v>
      </c>
      <c r="F6" s="3">
        <v>27000</v>
      </c>
      <c r="G6" s="3">
        <v>20</v>
      </c>
    </row>
    <row r="7" spans="1:7" ht="15.6" x14ac:dyDescent="0.3">
      <c r="A7" s="3" t="s">
        <v>8</v>
      </c>
      <c r="B7" s="3" t="s">
        <v>17</v>
      </c>
      <c r="C7" s="3" t="s">
        <v>21</v>
      </c>
      <c r="D7" s="3">
        <v>39000</v>
      </c>
      <c r="E7" s="3">
        <v>7000</v>
      </c>
      <c r="F7" s="3">
        <v>24000</v>
      </c>
      <c r="G7" s="3">
        <v>16</v>
      </c>
    </row>
    <row r="8" spans="1:7" ht="15.6" x14ac:dyDescent="0.3">
      <c r="A8" s="3" t="s">
        <v>8</v>
      </c>
      <c r="B8" s="3" t="s">
        <v>15</v>
      </c>
      <c r="C8" s="3" t="s">
        <v>19</v>
      </c>
      <c r="D8" s="3">
        <v>72000</v>
      </c>
      <c r="E8" s="3">
        <v>18000</v>
      </c>
      <c r="F8" s="3">
        <v>40000</v>
      </c>
      <c r="G8" s="3">
        <v>35</v>
      </c>
    </row>
    <row r="9" spans="1:7" ht="15.6" x14ac:dyDescent="0.3">
      <c r="A9" s="3" t="s">
        <v>8</v>
      </c>
      <c r="B9" s="3" t="s">
        <v>16</v>
      </c>
      <c r="C9" s="3" t="s">
        <v>20</v>
      </c>
      <c r="D9" s="3">
        <v>53000</v>
      </c>
      <c r="E9" s="3">
        <v>13000</v>
      </c>
      <c r="F9" s="3">
        <v>31000</v>
      </c>
      <c r="G9" s="3">
        <v>24</v>
      </c>
    </row>
    <row r="10" spans="1:7" ht="15.6" x14ac:dyDescent="0.3">
      <c r="A10" s="3" t="s">
        <v>9</v>
      </c>
      <c r="B10" s="3" t="s">
        <v>13</v>
      </c>
      <c r="C10" s="3" t="s">
        <v>21</v>
      </c>
      <c r="D10" s="3">
        <v>41000</v>
      </c>
      <c r="E10" s="3">
        <v>9000</v>
      </c>
      <c r="F10" s="3">
        <v>25000</v>
      </c>
      <c r="G10" s="3">
        <v>19</v>
      </c>
    </row>
    <row r="11" spans="1:7" ht="15.6" x14ac:dyDescent="0.3">
      <c r="A11" s="3" t="s">
        <v>9</v>
      </c>
      <c r="B11" s="3" t="s">
        <v>14</v>
      </c>
      <c r="C11" s="3" t="s">
        <v>19</v>
      </c>
      <c r="D11" s="3">
        <v>68000</v>
      </c>
      <c r="E11" s="3">
        <v>17000</v>
      </c>
      <c r="F11" s="3">
        <v>38000</v>
      </c>
      <c r="G11" s="3">
        <v>32</v>
      </c>
    </row>
    <row r="12" spans="1:7" ht="15.6" x14ac:dyDescent="0.3">
      <c r="A12" s="3" t="s">
        <v>9</v>
      </c>
      <c r="B12" s="3" t="s">
        <v>15</v>
      </c>
      <c r="C12" s="3" t="s">
        <v>22</v>
      </c>
      <c r="D12" s="3">
        <v>49000</v>
      </c>
      <c r="E12" s="3">
        <v>12000</v>
      </c>
      <c r="F12" s="3">
        <v>29000</v>
      </c>
      <c r="G12" s="3">
        <v>22</v>
      </c>
    </row>
    <row r="13" spans="1:7" ht="15.6" x14ac:dyDescent="0.3">
      <c r="A13" s="3" t="s">
        <v>9</v>
      </c>
      <c r="B13" s="3" t="s">
        <v>16</v>
      </c>
      <c r="C13" s="3" t="s">
        <v>21</v>
      </c>
      <c r="D13" s="3">
        <v>36000</v>
      </c>
      <c r="E13" s="3">
        <v>6000</v>
      </c>
      <c r="F13" s="3">
        <v>21000</v>
      </c>
      <c r="G13" s="3">
        <v>14</v>
      </c>
    </row>
    <row r="14" spans="1:7" ht="15.6" x14ac:dyDescent="0.3">
      <c r="A14" s="3" t="s">
        <v>10</v>
      </c>
      <c r="B14" s="3" t="s">
        <v>13</v>
      </c>
      <c r="C14" s="3" t="s">
        <v>19</v>
      </c>
      <c r="D14" s="3">
        <v>75000</v>
      </c>
      <c r="E14" s="3">
        <v>19000</v>
      </c>
      <c r="F14" s="3">
        <v>42000</v>
      </c>
      <c r="G14" s="3">
        <v>36</v>
      </c>
    </row>
    <row r="15" spans="1:7" ht="15.6" x14ac:dyDescent="0.3">
      <c r="A15" s="3" t="s">
        <v>10</v>
      </c>
      <c r="B15" s="3" t="s">
        <v>14</v>
      </c>
      <c r="C15" s="3" t="s">
        <v>22</v>
      </c>
      <c r="D15" s="3">
        <v>52000</v>
      </c>
      <c r="E15" s="3">
        <v>13000</v>
      </c>
      <c r="F15" s="3">
        <v>30000</v>
      </c>
      <c r="G15" s="3">
        <v>23</v>
      </c>
    </row>
    <row r="16" spans="1:7" ht="15.6" x14ac:dyDescent="0.3">
      <c r="A16" s="3" t="s">
        <v>10</v>
      </c>
      <c r="B16" s="3" t="s">
        <v>15</v>
      </c>
      <c r="C16" s="3" t="s">
        <v>21</v>
      </c>
      <c r="D16" s="3">
        <v>43000</v>
      </c>
      <c r="E16" s="3">
        <v>9000</v>
      </c>
      <c r="F16" s="3">
        <v>26000</v>
      </c>
      <c r="G16" s="3">
        <v>17</v>
      </c>
    </row>
    <row r="17" spans="1:7" ht="15.6" x14ac:dyDescent="0.3">
      <c r="A17" s="3" t="s">
        <v>10</v>
      </c>
      <c r="B17" s="3" t="s">
        <v>16</v>
      </c>
      <c r="C17" s="3" t="s">
        <v>19</v>
      </c>
      <c r="D17" s="3">
        <v>80000</v>
      </c>
      <c r="E17" s="3">
        <v>21000</v>
      </c>
      <c r="F17" s="3">
        <v>45000</v>
      </c>
      <c r="G17" s="3">
        <v>40</v>
      </c>
    </row>
    <row r="18" spans="1:7" ht="15.6" x14ac:dyDescent="0.3">
      <c r="A18" s="3" t="s">
        <v>11</v>
      </c>
      <c r="B18" s="3" t="s">
        <v>13</v>
      </c>
      <c r="C18" s="3" t="s">
        <v>22</v>
      </c>
      <c r="D18" s="3">
        <v>56000</v>
      </c>
      <c r="E18" s="3">
        <v>14000</v>
      </c>
      <c r="F18" s="3">
        <v>32000</v>
      </c>
      <c r="G18" s="3">
        <v>26</v>
      </c>
    </row>
    <row r="19" spans="1:7" ht="15.6" x14ac:dyDescent="0.3">
      <c r="A19" s="3" t="s">
        <v>11</v>
      </c>
      <c r="B19" s="3" t="s">
        <v>14</v>
      </c>
      <c r="C19" s="3" t="s">
        <v>21</v>
      </c>
      <c r="D19" s="3">
        <v>40000</v>
      </c>
      <c r="E19" s="3">
        <v>8000</v>
      </c>
      <c r="F19" s="3">
        <v>24000</v>
      </c>
      <c r="G19" s="3">
        <v>16</v>
      </c>
    </row>
    <row r="20" spans="1:7" ht="15.6" x14ac:dyDescent="0.3">
      <c r="A20" s="3" t="s">
        <v>11</v>
      </c>
      <c r="B20" s="3" t="s">
        <v>15</v>
      </c>
      <c r="C20" s="3" t="s">
        <v>23</v>
      </c>
      <c r="D20" s="3">
        <v>77000</v>
      </c>
      <c r="E20" s="3">
        <v>20000</v>
      </c>
      <c r="F20" s="3">
        <v>43000</v>
      </c>
      <c r="G20" s="3">
        <v>38</v>
      </c>
    </row>
    <row r="21" spans="1:7" ht="15.6" x14ac:dyDescent="0.3">
      <c r="A21" s="3" t="s">
        <v>11</v>
      </c>
      <c r="B21" s="3" t="s">
        <v>16</v>
      </c>
      <c r="C21" s="3" t="s">
        <v>22</v>
      </c>
      <c r="D21" s="3">
        <v>59000</v>
      </c>
      <c r="E21" s="3">
        <v>15000</v>
      </c>
      <c r="F21" s="3">
        <v>34000</v>
      </c>
      <c r="G21" s="3">
        <v>27</v>
      </c>
    </row>
    <row r="22" spans="1:7" ht="15.6" x14ac:dyDescent="0.3">
      <c r="A22" s="3" t="s">
        <v>12</v>
      </c>
      <c r="B22" s="3" t="s">
        <v>18</v>
      </c>
      <c r="C22" s="3" t="s">
        <v>24</v>
      </c>
      <c r="D22" s="3">
        <v>45000</v>
      </c>
      <c r="E22" s="3">
        <v>10000</v>
      </c>
      <c r="F22" s="3">
        <v>27000</v>
      </c>
      <c r="G22" s="3">
        <v>18</v>
      </c>
    </row>
    <row r="23" spans="1:7" ht="15.6" x14ac:dyDescent="0.3">
      <c r="A23" s="3" t="s">
        <v>12</v>
      </c>
      <c r="B23" s="3" t="s">
        <v>14</v>
      </c>
      <c r="C23" s="3" t="s">
        <v>23</v>
      </c>
      <c r="D23" s="3">
        <v>82000</v>
      </c>
      <c r="E23" s="3">
        <v>22000</v>
      </c>
      <c r="F23" s="3">
        <v>47000</v>
      </c>
      <c r="G23" s="3">
        <v>42</v>
      </c>
    </row>
    <row r="24" spans="1:7" ht="15.6" x14ac:dyDescent="0.3">
      <c r="A24" s="3" t="s">
        <v>12</v>
      </c>
      <c r="B24" s="3" t="s">
        <v>15</v>
      </c>
      <c r="C24" s="3" t="s">
        <v>20</v>
      </c>
      <c r="D24" s="3">
        <v>61000</v>
      </c>
      <c r="E24" s="3">
        <v>16000</v>
      </c>
      <c r="F24" s="3">
        <v>35000</v>
      </c>
      <c r="G24" s="3">
        <v>29</v>
      </c>
    </row>
    <row r="25" spans="1:7" ht="15.6" x14ac:dyDescent="0.3">
      <c r="A25" s="3" t="s">
        <v>12</v>
      </c>
      <c r="B25" s="3" t="s">
        <v>16</v>
      </c>
      <c r="C25" s="3" t="s">
        <v>21</v>
      </c>
      <c r="D25" s="3">
        <v>42000</v>
      </c>
      <c r="E25" s="3">
        <v>9000</v>
      </c>
      <c r="F25" s="3">
        <v>25000</v>
      </c>
      <c r="G25" s="3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2526-52C8-CB45-A2D9-C2AE4894FF48}">
  <dimension ref="B2:P42"/>
  <sheetViews>
    <sheetView tabSelected="1" zoomScaleNormal="60" zoomScaleSheetLayoutView="100" workbookViewId="0">
      <selection activeCell="N38" sqref="N38"/>
    </sheetView>
  </sheetViews>
  <sheetFormatPr defaultRowHeight="14.4" x14ac:dyDescent="0.3"/>
  <sheetData>
    <row r="2" spans="2:16" ht="17.399999999999999" x14ac:dyDescent="0.3">
      <c r="B2" s="5" t="s">
        <v>25</v>
      </c>
      <c r="C2" s="6"/>
      <c r="D2" s="6"/>
      <c r="E2" s="7"/>
    </row>
    <row r="4" spans="2:16" ht="15.6" x14ac:dyDescent="0.3">
      <c r="B4" s="8" t="s">
        <v>25</v>
      </c>
      <c r="C4" s="8"/>
      <c r="D4" s="8" t="s">
        <v>26</v>
      </c>
      <c r="E4" s="8"/>
      <c r="H4" s="11" t="s">
        <v>34</v>
      </c>
      <c r="I4" s="11"/>
      <c r="J4" s="11"/>
      <c r="K4" s="11"/>
      <c r="M4" s="19" t="s">
        <v>36</v>
      </c>
      <c r="N4" s="19"/>
      <c r="O4" s="19"/>
      <c r="P4" s="19"/>
    </row>
    <row r="5" spans="2:16" ht="15.6" x14ac:dyDescent="0.3">
      <c r="B5" s="10" t="s">
        <v>27</v>
      </c>
      <c r="C5" s="10"/>
      <c r="D5" s="9">
        <v>1308000</v>
      </c>
      <c r="E5" s="9"/>
    </row>
    <row r="6" spans="2:16" ht="15.6" x14ac:dyDescent="0.3">
      <c r="B6" s="10" t="s">
        <v>28</v>
      </c>
      <c r="C6" s="10"/>
      <c r="D6" s="9">
        <v>314000</v>
      </c>
      <c r="E6" s="9"/>
      <c r="H6" s="12" t="s">
        <v>1</v>
      </c>
      <c r="I6" s="13" t="s">
        <v>35</v>
      </c>
      <c r="J6" s="14"/>
      <c r="M6" s="20" t="s">
        <v>6</v>
      </c>
      <c r="N6" s="21" t="s">
        <v>33</v>
      </c>
      <c r="O6" s="22"/>
    </row>
    <row r="7" spans="2:16" ht="15.6" x14ac:dyDescent="0.3">
      <c r="B7" s="10" t="s">
        <v>29</v>
      </c>
      <c r="C7" s="10"/>
      <c r="D7" s="9">
        <v>757000</v>
      </c>
      <c r="E7" s="9"/>
      <c r="H7" s="15" t="s">
        <v>19</v>
      </c>
      <c r="I7" s="16">
        <f>SUMIF('Raw Data'!C2:C25,"Laptop",'Raw Data'!E2:E25)</f>
        <v>102000</v>
      </c>
      <c r="J7" s="17"/>
      <c r="M7" s="3" t="s">
        <v>7</v>
      </c>
      <c r="N7" s="23">
        <f>SUMIF('Raw Data'!A2:A25,"Jan",'Raw Data'!D2:D25)</f>
        <v>191000</v>
      </c>
      <c r="O7" s="24"/>
    </row>
    <row r="8" spans="2:16" ht="15.6" x14ac:dyDescent="0.3">
      <c r="B8" s="10" t="s">
        <v>30</v>
      </c>
      <c r="C8" s="10"/>
      <c r="D8" s="9">
        <v>13083.33</v>
      </c>
      <c r="E8" s="9"/>
      <c r="H8" s="18" t="s">
        <v>20</v>
      </c>
      <c r="I8" s="16">
        <f>SUMIF('Raw Data'!C2:C25,"Mobile",'Raw Data'!E2:E25)</f>
        <v>50000</v>
      </c>
      <c r="J8" s="17"/>
      <c r="M8" s="3" t="s">
        <v>8</v>
      </c>
      <c r="N8" s="23">
        <f>SUMIF('Raw Data'!A2:A25,"Feb",'Raw Data'!D2:D25)</f>
        <v>211000</v>
      </c>
      <c r="O8" s="24"/>
    </row>
    <row r="9" spans="2:16" ht="15.6" x14ac:dyDescent="0.3">
      <c r="B9" s="10" t="s">
        <v>31</v>
      </c>
      <c r="C9" s="10"/>
      <c r="D9" s="9">
        <v>595</v>
      </c>
      <c r="E9" s="9"/>
      <c r="H9" s="15" t="s">
        <v>21</v>
      </c>
      <c r="I9" s="16">
        <f>SUMIF('Raw Data'!C2:C25,"Tablet",'Raw Data'!E2:E25)</f>
        <v>56000</v>
      </c>
      <c r="J9" s="17"/>
      <c r="M9" s="3" t="s">
        <v>9</v>
      </c>
      <c r="N9" s="23">
        <f>SUMIF('Raw Data'!A2:A25,"Mar",'Raw Data'!D2:D25)</f>
        <v>194000</v>
      </c>
      <c r="O9" s="24"/>
    </row>
    <row r="10" spans="2:16" ht="15.6" x14ac:dyDescent="0.3">
      <c r="B10" s="1"/>
      <c r="C10" s="1"/>
      <c r="D10" s="1"/>
      <c r="E10" s="1"/>
      <c r="M10" s="3" t="s">
        <v>10</v>
      </c>
      <c r="N10" s="23">
        <f>SUMIF('Raw Data'!A2:A25,"Apr",'Raw Data'!D2:D25)</f>
        <v>250000</v>
      </c>
      <c r="O10" s="24"/>
    </row>
    <row r="11" spans="2:16" ht="15.6" x14ac:dyDescent="0.3">
      <c r="B11" s="25" t="s">
        <v>32</v>
      </c>
      <c r="C11" s="26"/>
      <c r="D11" s="26"/>
      <c r="E11" s="27"/>
      <c r="M11" s="3" t="s">
        <v>11</v>
      </c>
      <c r="N11" s="23">
        <f>SUMIF('Raw Data'!A2:A25,"May",'Raw Data'!D2:D25)</f>
        <v>232000</v>
      </c>
      <c r="O11" s="24"/>
    </row>
    <row r="12" spans="2:16" ht="15.6" x14ac:dyDescent="0.3">
      <c r="M12" s="3" t="s">
        <v>12</v>
      </c>
      <c r="N12" s="23">
        <f>SUMIF('Raw Data'!A2:A25,"Jun",'Raw Data'!D2:D25)</f>
        <v>230000</v>
      </c>
      <c r="O12" s="24"/>
    </row>
    <row r="13" spans="2:16" ht="15.6" x14ac:dyDescent="0.3">
      <c r="B13" s="28" t="s">
        <v>0</v>
      </c>
      <c r="C13" s="29" t="s">
        <v>33</v>
      </c>
      <c r="D13" s="30"/>
    </row>
    <row r="14" spans="2:16" ht="15.6" x14ac:dyDescent="0.3">
      <c r="B14" s="3" t="s">
        <v>13</v>
      </c>
      <c r="C14" s="23">
        <f>SUMIF('Raw Data'!B2:B25,"South",'Raw Data'!D2:D25)</f>
        <v>269000</v>
      </c>
      <c r="D14" s="24"/>
      <c r="E14" s="1"/>
    </row>
    <row r="15" spans="2:16" ht="15.6" x14ac:dyDescent="0.3">
      <c r="B15" s="3" t="s">
        <v>14</v>
      </c>
      <c r="C15" s="23">
        <f>SUMIF('Raw Data'!B2:B25,"North",'Raw Data'!D2:D25)</f>
        <v>284000</v>
      </c>
      <c r="D15" s="24"/>
      <c r="E15" s="1"/>
    </row>
    <row r="16" spans="2:16" ht="15.6" x14ac:dyDescent="0.3">
      <c r="B16" s="3" t="s">
        <v>15</v>
      </c>
      <c r="C16" s="23">
        <f>SUMIF('Raw Data'!B2:B25,"East",'Raw Data'!D2:D25)</f>
        <v>340000</v>
      </c>
      <c r="D16" s="24"/>
      <c r="E16" s="1"/>
    </row>
    <row r="17" spans="2:5" ht="15.6" x14ac:dyDescent="0.3">
      <c r="B17" s="3" t="s">
        <v>16</v>
      </c>
      <c r="C17" s="23">
        <f>SUMIF('Raw Data'!B2:B25,"West",'Raw Data'!D2:D25)</f>
        <v>331000</v>
      </c>
      <c r="D17" s="24"/>
      <c r="E17" s="1"/>
    </row>
    <row r="36" spans="8:11" ht="15.6" x14ac:dyDescent="0.3">
      <c r="H36" s="25" t="s">
        <v>37</v>
      </c>
      <c r="I36" s="26"/>
      <c r="J36" s="26"/>
      <c r="K36" s="27"/>
    </row>
    <row r="38" spans="8:11" ht="15.6" x14ac:dyDescent="0.3">
      <c r="H38" s="2" t="s">
        <v>0</v>
      </c>
      <c r="I38" s="31" t="s">
        <v>5</v>
      </c>
      <c r="J38" s="32"/>
    </row>
    <row r="39" spans="8:11" ht="15.6" x14ac:dyDescent="0.3">
      <c r="H39" s="3" t="s">
        <v>13</v>
      </c>
      <c r="I39" s="23">
        <f>SUMIF('Raw Data'!B2:B25,"South",'Raw Data'!G2:G25)</f>
        <v>126</v>
      </c>
      <c r="J39" s="24"/>
    </row>
    <row r="40" spans="8:11" ht="15.6" x14ac:dyDescent="0.3">
      <c r="H40" s="3" t="s">
        <v>14</v>
      </c>
      <c r="I40" s="23">
        <f>SUMIF('Raw Data'!B2:B25,"North",'Raw Data'!G2:G25)</f>
        <v>131</v>
      </c>
      <c r="J40" s="24"/>
    </row>
    <row r="41" spans="8:11" ht="15.6" x14ac:dyDescent="0.3">
      <c r="H41" s="3" t="s">
        <v>15</v>
      </c>
      <c r="I41" s="23">
        <f>SUMIF('Raw Data'!B2:B25,"East",'Raw Data'!G2:G25)</f>
        <v>156</v>
      </c>
      <c r="J41" s="24"/>
    </row>
    <row r="42" spans="8:11" ht="15.6" x14ac:dyDescent="0.3">
      <c r="H42" s="3" t="s">
        <v>16</v>
      </c>
      <c r="I42" s="23">
        <f>SUMIF('Raw Data'!B2:B25,"West",'Raw Data'!G2:G25)</f>
        <v>148</v>
      </c>
      <c r="J42" s="24"/>
    </row>
  </sheetData>
  <mergeCells count="38">
    <mergeCell ref="N11:O11"/>
    <mergeCell ref="N12:O12"/>
    <mergeCell ref="N6:O6"/>
    <mergeCell ref="M4:P4"/>
    <mergeCell ref="N7:O7"/>
    <mergeCell ref="N8:O8"/>
    <mergeCell ref="N9:O9"/>
    <mergeCell ref="N10:O10"/>
    <mergeCell ref="B2:E2"/>
    <mergeCell ref="C13:D13"/>
    <mergeCell ref="C14:D14"/>
    <mergeCell ref="C15:D15"/>
    <mergeCell ref="C16:D16"/>
    <mergeCell ref="B11:E11"/>
    <mergeCell ref="B9:C9"/>
    <mergeCell ref="D4:E4"/>
    <mergeCell ref="D5:E5"/>
    <mergeCell ref="D6:E6"/>
    <mergeCell ref="D7:E7"/>
    <mergeCell ref="D8:E8"/>
    <mergeCell ref="D9:E9"/>
    <mergeCell ref="B4:C4"/>
    <mergeCell ref="B5:C5"/>
    <mergeCell ref="B6:C6"/>
    <mergeCell ref="C17:D17"/>
    <mergeCell ref="H4:K4"/>
    <mergeCell ref="I6:J6"/>
    <mergeCell ref="I7:J7"/>
    <mergeCell ref="I8:J8"/>
    <mergeCell ref="I9:J9"/>
    <mergeCell ref="B7:C7"/>
    <mergeCell ref="B8:C8"/>
    <mergeCell ref="I42:J42"/>
    <mergeCell ref="H36:K36"/>
    <mergeCell ref="I38:J38"/>
    <mergeCell ref="I39:J39"/>
    <mergeCell ref="I40:J40"/>
    <mergeCell ref="I41:J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bandlamudi saranya</dc:creator>
  <cp:lastModifiedBy>bandlamudi saranya</cp:lastModifiedBy>
  <dcterms:created xsi:type="dcterms:W3CDTF">2026-05-15T23:08:49Z</dcterms:created>
  <dcterms:modified xsi:type="dcterms:W3CDTF">2026-05-25T15:10:05Z</dcterms:modified>
</cp:coreProperties>
</file>